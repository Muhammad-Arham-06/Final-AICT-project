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emester 1\AICT\AICT Lab + Assignments\Finals project\"/>
    </mc:Choice>
  </mc:AlternateContent>
  <xr:revisionPtr revIDLastSave="0" documentId="8_{F4AF5214-E965-4BF5-9AF4-C06D185D434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am members &amp; salary" sheetId="1" r:id="rId1"/>
    <sheet name="services" sheetId="6" r:id="rId2"/>
    <sheet name="projects &amp; sales" sheetId="5" r:id="rId3"/>
    <sheet name="total_expenses" sheetId="13" r:id="rId4"/>
    <sheet name="financial_summary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4" l="1"/>
  <c r="E3" i="14"/>
  <c r="E4" i="14"/>
  <c r="E5" i="14"/>
  <c r="E6" i="14"/>
  <c r="E7" i="14"/>
  <c r="E8" i="14"/>
  <c r="E9" i="14"/>
  <c r="E10" i="14"/>
  <c r="E11" i="14"/>
  <c r="E12" i="14"/>
  <c r="E13" i="14"/>
  <c r="D3" i="14"/>
  <c r="D4" i="14"/>
  <c r="F4" i="14" s="1"/>
  <c r="D5" i="14"/>
  <c r="D6" i="14"/>
  <c r="D7" i="14"/>
  <c r="D8" i="14"/>
  <c r="D9" i="14"/>
  <c r="D10" i="14"/>
  <c r="F10" i="14" s="1"/>
  <c r="D11" i="14"/>
  <c r="D12" i="14"/>
  <c r="D13" i="14"/>
  <c r="D2" i="14"/>
  <c r="F3" i="13"/>
  <c r="F4" i="13"/>
  <c r="F5" i="13"/>
  <c r="F6" i="13"/>
  <c r="F7" i="13"/>
  <c r="F8" i="13"/>
  <c r="F9" i="13"/>
  <c r="F10" i="13"/>
  <c r="F11" i="13"/>
  <c r="F12" i="13"/>
  <c r="F13" i="13"/>
  <c r="F2" i="13"/>
  <c r="F9" i="14" l="1"/>
  <c r="F8" i="14"/>
  <c r="F3" i="14"/>
  <c r="F7" i="14"/>
  <c r="F2" i="14"/>
  <c r="F6" i="14"/>
  <c r="F13" i="14"/>
  <c r="F5" i="14"/>
  <c r="F12" i="14"/>
  <c r="F11" i="14"/>
  <c r="I7" i="1"/>
  <c r="I8" i="1"/>
  <c r="I9" i="1"/>
  <c r="I10" i="1"/>
  <c r="I11" i="1"/>
  <c r="I3" i="1" l="1"/>
  <c r="I4" i="1"/>
  <c r="I5" i="1"/>
  <c r="I6" i="1"/>
  <c r="I2" i="1"/>
</calcChain>
</file>

<file path=xl/sharedStrings.xml><?xml version="1.0" encoding="utf-8"?>
<sst xmlns="http://schemas.openxmlformats.org/spreadsheetml/2006/main" count="359" uniqueCount="141">
  <si>
    <t>Staff ID</t>
  </si>
  <si>
    <t>Staff Name</t>
  </si>
  <si>
    <t>Job Title</t>
  </si>
  <si>
    <t>Salary</t>
  </si>
  <si>
    <t>Work Type</t>
  </si>
  <si>
    <t>Level</t>
  </si>
  <si>
    <t>Month</t>
  </si>
  <si>
    <t>Project Name</t>
  </si>
  <si>
    <t>Client Name</t>
  </si>
  <si>
    <t>Payment Status</t>
  </si>
  <si>
    <t>Graphic Designer</t>
  </si>
  <si>
    <t>Website Developer</t>
  </si>
  <si>
    <t>Video Animation Designer</t>
  </si>
  <si>
    <t>UI/UX Designer</t>
  </si>
  <si>
    <t>Social Media Manager</t>
  </si>
  <si>
    <t>Salary Base</t>
  </si>
  <si>
    <t>Senior</t>
  </si>
  <si>
    <t>Project Base</t>
  </si>
  <si>
    <t>Junior</t>
  </si>
  <si>
    <t>Working Hours/Day</t>
  </si>
  <si>
    <t>Hours/Week</t>
  </si>
  <si>
    <t>July</t>
  </si>
  <si>
    <t>Paid</t>
  </si>
  <si>
    <t>August</t>
  </si>
  <si>
    <t>September</t>
  </si>
  <si>
    <t>Unpaid</t>
  </si>
  <si>
    <t>Logo Design &amp; Branding Package</t>
  </si>
  <si>
    <t>Complete Brand Identity Design</t>
  </si>
  <si>
    <t>Corporate Brochure Design</t>
  </si>
  <si>
    <t>Social Media Post Design Pack</t>
  </si>
  <si>
    <t>Business Card &amp; Stationery Design</t>
  </si>
  <si>
    <t>Marketing Flyer &amp; Poster Design</t>
  </si>
  <si>
    <t>Business Website Development</t>
  </si>
  <si>
    <t>E-commerce Website Design &amp; Development</t>
  </si>
  <si>
    <t>Portfolio Website Development</t>
  </si>
  <si>
    <t>Landing Page Design &amp; Development</t>
  </si>
  <si>
    <t>Website Redesign &amp; Optimization</t>
  </si>
  <si>
    <t>WordPress Website Customization</t>
  </si>
  <si>
    <t>2D Explainer Video Animation</t>
  </si>
  <si>
    <t>3D Product Animation Video</t>
  </si>
  <si>
    <t>Motion Graphics Promotional Video</t>
  </si>
  <si>
    <t>Whiteboard Animation Video</t>
  </si>
  <si>
    <t>Social Media Short Video Ads</t>
  </si>
  <si>
    <t>Monthly Social Media Management</t>
  </si>
  <si>
    <t>User Experience Research &amp; Wireframing</t>
  </si>
  <si>
    <t>Complete Digital Presence Setup</t>
  </si>
  <si>
    <t>Startup Branding &amp; Website Package</t>
  </si>
  <si>
    <t>Brand Awareness Social Media Campaign</t>
  </si>
  <si>
    <t>Instagram &amp; Facebook Page Management</t>
  </si>
  <si>
    <t>Social Media Post Scheduling &amp; Analytics</t>
  </si>
  <si>
    <t>Social Media Advertising Campaign</t>
  </si>
  <si>
    <t>Interactive Prototype Design</t>
  </si>
  <si>
    <t>Advanced Logo Redesign Project</t>
  </si>
  <si>
    <t>Category</t>
  </si>
  <si>
    <t>Package Name</t>
  </si>
  <si>
    <t>Price</t>
  </si>
  <si>
    <t>LinkedIn Optimization</t>
  </si>
  <si>
    <t>Basic Package</t>
  </si>
  <si>
    <t>Pro Package</t>
  </si>
  <si>
    <t xml:space="preserve">Complete Package </t>
  </si>
  <si>
    <t>Custom Package</t>
  </si>
  <si>
    <t>Meta Optimization</t>
  </si>
  <si>
    <t>Website Optimization</t>
  </si>
  <si>
    <t>Digital Market</t>
  </si>
  <si>
    <t>Fyer/Poster</t>
  </si>
  <si>
    <t>Logo/Brand design</t>
  </si>
  <si>
    <t>Social Covers</t>
  </si>
  <si>
    <t>Posts Brouchers</t>
  </si>
  <si>
    <t>LInkedIn banners</t>
  </si>
  <si>
    <t>Bussiness Cards</t>
  </si>
  <si>
    <t>Infographics</t>
  </si>
  <si>
    <t>Ads/Web Designs</t>
  </si>
  <si>
    <t>Social Media Ad creative</t>
  </si>
  <si>
    <t>Facebook Background</t>
  </si>
  <si>
    <t>Post template</t>
  </si>
  <si>
    <t>Color branding</t>
  </si>
  <si>
    <t>Depends</t>
  </si>
  <si>
    <t>Product Manager</t>
  </si>
  <si>
    <t>Digital Marketing Specialist</t>
  </si>
  <si>
    <t>QA Engineer</t>
  </si>
  <si>
    <t xml:space="preserve">Fatima Batool </t>
  </si>
  <si>
    <t>Sara Ahmed</t>
  </si>
  <si>
    <t>Alishba Mahmood</t>
  </si>
  <si>
    <t>Moeez Ahmed</t>
  </si>
  <si>
    <t>Ayesha Imran</t>
  </si>
  <si>
    <t>Bilal Farooq</t>
  </si>
  <si>
    <t>Ali  Asjad</t>
  </si>
  <si>
    <t>Ahmed Kazmi</t>
  </si>
  <si>
    <t>Adam Wilson</t>
  </si>
  <si>
    <t>Ayesha Khan</t>
  </si>
  <si>
    <t>James Anderson</t>
  </si>
  <si>
    <t>Ali Raza</t>
  </si>
  <si>
    <t>Sophia Brown</t>
  </si>
  <si>
    <t>Daniel Smith</t>
  </si>
  <si>
    <t>Usman Malik</t>
  </si>
  <si>
    <t>Emily Carter</t>
  </si>
  <si>
    <t>Fatima Noor</t>
  </si>
  <si>
    <t>Michael Davis</t>
  </si>
  <si>
    <t>Hassan Ali</t>
  </si>
  <si>
    <t>Emma Taylor</t>
  </si>
  <si>
    <t>Zainab Hussain</t>
  </si>
  <si>
    <t>William Moore</t>
  </si>
  <si>
    <t>Bilal Ahmad</t>
  </si>
  <si>
    <t>Olivia Johnson</t>
  </si>
  <si>
    <t>Hamza Sheikh</t>
  </si>
  <si>
    <t>Benjamin Clark</t>
  </si>
  <si>
    <t>Maryam Iqbal</t>
  </si>
  <si>
    <t>Lucas Walker</t>
  </si>
  <si>
    <t>Ahmad Farooq</t>
  </si>
  <si>
    <t>Mia Hall</t>
  </si>
  <si>
    <t>Noman Qureshi</t>
  </si>
  <si>
    <t>Henry Allen</t>
  </si>
  <si>
    <t>Sana Tariq</t>
  </si>
  <si>
    <t>Alexander King</t>
  </si>
  <si>
    <t>Imran Shah</t>
  </si>
  <si>
    <t>Amelia Wright</t>
  </si>
  <si>
    <t>Rabia Siddiqui</t>
  </si>
  <si>
    <t>January</t>
  </si>
  <si>
    <t>February</t>
  </si>
  <si>
    <t>March</t>
  </si>
  <si>
    <t>April</t>
  </si>
  <si>
    <t>May</t>
  </si>
  <si>
    <t>June</t>
  </si>
  <si>
    <t>October</t>
  </si>
  <si>
    <t>November</t>
  </si>
  <si>
    <t>December</t>
  </si>
  <si>
    <t>Muhammad Arham</t>
  </si>
  <si>
    <t>Rent (Lacs)</t>
  </si>
  <si>
    <t>Bills (Lacs)</t>
  </si>
  <si>
    <t>Repairing (Lacs)</t>
  </si>
  <si>
    <t>Total Expenses</t>
  </si>
  <si>
    <t>Employee Salaries (Lacs)</t>
  </si>
  <si>
    <t>Project Revenue (Lacs)</t>
  </si>
  <si>
    <t>Net Profit</t>
  </si>
  <si>
    <t>Tax (10%)</t>
  </si>
  <si>
    <t>Remaining</t>
  </si>
  <si>
    <t xml:space="preserve"> Total Income</t>
  </si>
  <si>
    <t>Project Charges</t>
  </si>
  <si>
    <t>Husnain Ali</t>
  </si>
  <si>
    <t>Working Days/Week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</si>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</sst>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119A9A"/>
        <bgColor indexed="64"/>
      </patternFill>
    </fill>
    <fill>
      <patternFill patternType="solid">
        <fgColor rgb="FFD9FCFB"/>
        <bgColor indexed="64"/>
      </patternFill>
    </fill>
    <fill>
      <patternFill patternType="solid">
        <fgColor rgb="FFD6FB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5" fillId="5" borderId="1" xfId="0" applyFont="1" applyFill="1" applyBorder="1"/>
    <xf numFmtId="0" fontId="0" fillId="7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7" borderId="1" xfId="1" applyFont="1" applyFill="1" applyBorder="1" applyAlignment="1">
      <alignment horizontal="left"/>
    </xf>
    <xf numFmtId="164" fontId="2" fillId="7" borderId="1" xfId="3" applyFont="1" applyFill="1" applyBorder="1" applyAlignment="1">
      <alignment horizontal="left" vertical="top"/>
    </xf>
    <xf numFmtId="164" fontId="0" fillId="0" borderId="0" xfId="3" applyFont="1"/>
    <xf numFmtId="164" fontId="0" fillId="0" borderId="0" xfId="3" applyFont="1" applyAlignment="1"/>
    <xf numFmtId="164" fontId="0" fillId="0" borderId="0" xfId="3" applyFont="1" applyAlignment="1">
      <alignment horizontal="left"/>
    </xf>
    <xf numFmtId="164" fontId="2" fillId="7" borderId="1" xfId="3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164" fontId="6" fillId="5" borderId="1" xfId="3" applyFont="1" applyFill="1" applyBorder="1" applyAlignment="1"/>
    <xf numFmtId="0" fontId="9" fillId="5" borderId="2" xfId="0" applyFont="1" applyFill="1" applyBorder="1" applyAlignment="1">
      <alignment horizontal="left" vertical="center" wrapText="1" readingOrder="1"/>
    </xf>
    <xf numFmtId="3" fontId="0" fillId="7" borderId="1" xfId="0" applyNumberFormat="1" applyFill="1" applyBorder="1" applyAlignment="1">
      <alignment horizontal="left"/>
    </xf>
    <xf numFmtId="3" fontId="0" fillId="4" borderId="1" xfId="0" applyNumberFormat="1" applyFill="1" applyBorder="1" applyAlignment="1">
      <alignment horizontal="left"/>
    </xf>
    <xf numFmtId="0" fontId="8" fillId="7" borderId="2" xfId="0" applyFont="1" applyFill="1" applyBorder="1" applyAlignment="1">
      <alignment horizontal="left" vertical="center" wrapText="1" readingOrder="1"/>
    </xf>
    <xf numFmtId="0" fontId="7" fillId="7" borderId="2" xfId="0" applyFont="1" applyFill="1" applyBorder="1" applyAlignment="1">
      <alignment horizontal="left" vertical="center" wrapText="1" readingOrder="1"/>
    </xf>
    <xf numFmtId="0" fontId="8" fillId="4" borderId="2" xfId="0" applyFont="1" applyFill="1" applyBorder="1" applyAlignment="1">
      <alignment horizontal="left" vertical="center" wrapText="1" readingOrder="1"/>
    </xf>
    <xf numFmtId="0" fontId="7" fillId="4" borderId="2" xfId="0" applyFont="1" applyFill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3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5" borderId="1" xfId="2" applyFont="1" applyFill="1" applyBorder="1" applyAlignment="1">
      <alignment horizontal="center"/>
    </xf>
  </cellXfs>
  <cellStyles count="4">
    <cellStyle name="Accent3" xfId="1" builtinId="37"/>
    <cellStyle name="Accent6" xfId="2" builtinId="49"/>
    <cellStyle name="Currency" xfId="3" builtinId="4"/>
    <cellStyle name="Normal" xfId="0" builtinId="0"/>
  </cellStyles>
  <dxfs count="0"/>
  <tableStyles count="0" defaultTableStyle="TableStyleMedium2" defaultPivotStyle="PivotStyleLight16"/>
  <colors>
    <mruColors>
      <color rgb="FFD6FBFA"/>
      <color rgb="FF119A9A"/>
      <color rgb="FFD9FCFB"/>
      <color rgb="FF99E1DF"/>
      <color rgb="FFAAFAF2"/>
      <color rgb="FF97F7EE"/>
      <color rgb="FF970000"/>
      <color rgb="FF79F2E6"/>
      <color rgb="FF4CE6CE"/>
      <color rgb="FF55C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Summary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6482939632549E-2"/>
          <c:y val="0.13467592592592595"/>
          <c:w val="0.90286351706036749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financial_summary!$D$1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financial_summary!$D$2:$D$13</c:f>
              <c:numCache>
                <c:formatCode>General</c:formatCode>
                <c:ptCount val="12"/>
                <c:pt idx="0">
                  <c:v>11.8</c:v>
                </c:pt>
                <c:pt idx="1">
                  <c:v>10</c:v>
                </c:pt>
                <c:pt idx="2">
                  <c:v>15.399999999999999</c:v>
                </c:pt>
                <c:pt idx="3">
                  <c:v>12.899999999999999</c:v>
                </c:pt>
                <c:pt idx="4">
                  <c:v>19.7</c:v>
                </c:pt>
                <c:pt idx="5">
                  <c:v>17.8</c:v>
                </c:pt>
                <c:pt idx="6">
                  <c:v>20.9</c:v>
                </c:pt>
                <c:pt idx="7">
                  <c:v>16.3</c:v>
                </c:pt>
                <c:pt idx="8">
                  <c:v>24.5</c:v>
                </c:pt>
                <c:pt idx="9">
                  <c:v>17.899999999999999</c:v>
                </c:pt>
                <c:pt idx="10">
                  <c:v>27.1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8-4C98-9395-97F039DAD311}"/>
            </c:ext>
          </c:extLst>
        </c:ser>
        <c:ser>
          <c:idx val="1"/>
          <c:order val="1"/>
          <c:tx>
            <c:strRef>
              <c:f>financial_summary!$E$1</c:f>
              <c:strCache>
                <c:ptCount val="1"/>
                <c:pt idx="0">
                  <c:v>Tax (10%)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financial_summary!$E$2:$E$13</c:f>
              <c:numCache>
                <c:formatCode>General</c:formatCode>
                <c:ptCount val="12"/>
                <c:pt idx="0">
                  <c:v>1.1800000000000002</c:v>
                </c:pt>
                <c:pt idx="1">
                  <c:v>1</c:v>
                </c:pt>
                <c:pt idx="2">
                  <c:v>1.54</c:v>
                </c:pt>
                <c:pt idx="3">
                  <c:v>1.29</c:v>
                </c:pt>
                <c:pt idx="4">
                  <c:v>1.97</c:v>
                </c:pt>
                <c:pt idx="5">
                  <c:v>1.7800000000000002</c:v>
                </c:pt>
                <c:pt idx="6">
                  <c:v>2.09</c:v>
                </c:pt>
                <c:pt idx="7">
                  <c:v>1.6300000000000001</c:v>
                </c:pt>
                <c:pt idx="8">
                  <c:v>2.4500000000000002</c:v>
                </c:pt>
                <c:pt idx="9">
                  <c:v>1.79</c:v>
                </c:pt>
                <c:pt idx="10">
                  <c:v>2.7100000000000004</c:v>
                </c:pt>
                <c:pt idx="11">
                  <c:v>2.8000000000000003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8-4C98-9395-97F039DAD311}"/>
            </c:ext>
          </c:extLst>
        </c:ser>
        <c:ser>
          <c:idx val="2"/>
          <c:order val="2"/>
          <c:tx>
            <c:strRef>
              <c:f>financial_summary!$F$1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financial_summary!$F$2:$F$13</c:f>
              <c:numCache>
                <c:formatCode>General</c:formatCode>
                <c:ptCount val="12"/>
                <c:pt idx="0">
                  <c:v>10.620000000000001</c:v>
                </c:pt>
                <c:pt idx="1">
                  <c:v>9</c:v>
                </c:pt>
                <c:pt idx="2">
                  <c:v>13.86</c:v>
                </c:pt>
                <c:pt idx="3">
                  <c:v>11.61</c:v>
                </c:pt>
                <c:pt idx="4">
                  <c:v>17.73</c:v>
                </c:pt>
                <c:pt idx="5">
                  <c:v>16.02</c:v>
                </c:pt>
                <c:pt idx="6">
                  <c:v>18.809999999999999</c:v>
                </c:pt>
                <c:pt idx="7">
                  <c:v>14.67</c:v>
                </c:pt>
                <c:pt idx="8">
                  <c:v>22.05</c:v>
                </c:pt>
                <c:pt idx="9">
                  <c:v>16.11</c:v>
                </c:pt>
                <c:pt idx="10">
                  <c:v>24.39</c:v>
                </c:pt>
                <c:pt idx="11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8-4C98-9395-97F039DAD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60543"/>
        <c:axId val="919962623"/>
      </c:barChart>
      <c:catAx>
        <c:axId val="9199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62623"/>
        <c:crosses val="autoZero"/>
        <c:auto val="1"/>
        <c:lblAlgn val="ctr"/>
        <c:lblOffset val="100"/>
        <c:noMultiLvlLbl val="0"/>
      </c:catAx>
      <c:valAx>
        <c:axId val="9199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6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</xdr:colOff>
      <xdr:row>0</xdr:row>
      <xdr:rowOff>15875</xdr:rowOff>
    </xdr:from>
    <xdr:to>
      <xdr:col>13</xdr:col>
      <xdr:colOff>332105</xdr:colOff>
      <xdr:row>12</xdr:row>
      <xdr:rowOff>186055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122" workbookViewId="0">
      <selection activeCell="I6" sqref="I6"/>
    </sheetView>
  </sheetViews>
  <sheetFormatPr defaultRowHeight="14.4" x14ac:dyDescent="0.3"/>
  <cols>
    <col min="1" max="1" width="11.21875" customWidth="1"/>
    <col min="2" max="2" width="18" customWidth="1"/>
    <col min="3" max="3" width="25.77734375" customWidth="1"/>
    <col min="4" max="4" width="8.88671875" customWidth="1"/>
    <col min="5" max="5" width="13.88671875" customWidth="1"/>
    <col min="6" max="6" width="10.21875" customWidth="1"/>
    <col min="7" max="7" width="22.77734375" customWidth="1"/>
    <col min="8" max="8" width="24.6640625" customWidth="1"/>
    <col min="9" max="9" width="14.77734375" customWidth="1"/>
  </cols>
  <sheetData>
    <row r="1" spans="1:9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19</v>
      </c>
      <c r="H1" s="3" t="s">
        <v>139</v>
      </c>
      <c r="I1" s="3" t="s">
        <v>20</v>
      </c>
    </row>
    <row r="2" spans="1:9" x14ac:dyDescent="0.3">
      <c r="A2" s="2">
        <v>1</v>
      </c>
      <c r="B2" s="2" t="s">
        <v>126</v>
      </c>
      <c r="C2" s="2" t="s">
        <v>10</v>
      </c>
      <c r="D2" s="2">
        <v>90000</v>
      </c>
      <c r="E2" s="2" t="s">
        <v>15</v>
      </c>
      <c r="F2" s="2" t="s">
        <v>16</v>
      </c>
      <c r="G2" s="2">
        <v>6</v>
      </c>
      <c r="H2" s="2">
        <v>5</v>
      </c>
      <c r="I2" s="2">
        <f>G2*H2</f>
        <v>30</v>
      </c>
    </row>
    <row r="3" spans="1:9" x14ac:dyDescent="0.3">
      <c r="A3" s="1">
        <v>2</v>
      </c>
      <c r="B3" s="1" t="s">
        <v>86</v>
      </c>
      <c r="C3" s="1" t="s">
        <v>11</v>
      </c>
      <c r="D3" s="1">
        <v>80000</v>
      </c>
      <c r="E3" s="1" t="s">
        <v>15</v>
      </c>
      <c r="F3" s="1" t="s">
        <v>16</v>
      </c>
      <c r="G3" s="1">
        <v>6</v>
      </c>
      <c r="H3" s="1">
        <v>5</v>
      </c>
      <c r="I3" s="1">
        <f t="shared" ref="I3:I11" si="0">G3*H3</f>
        <v>30</v>
      </c>
    </row>
    <row r="4" spans="1:9" x14ac:dyDescent="0.3">
      <c r="A4" s="4">
        <v>3</v>
      </c>
      <c r="B4" s="4" t="s">
        <v>87</v>
      </c>
      <c r="C4" s="4" t="s">
        <v>12</v>
      </c>
      <c r="D4" s="4">
        <v>50000</v>
      </c>
      <c r="E4" s="4" t="s">
        <v>17</v>
      </c>
      <c r="F4" s="4" t="s">
        <v>18</v>
      </c>
      <c r="G4" s="4">
        <v>8</v>
      </c>
      <c r="H4" s="4">
        <v>5</v>
      </c>
      <c r="I4" s="4">
        <f t="shared" si="0"/>
        <v>40</v>
      </c>
    </row>
    <row r="5" spans="1:9" x14ac:dyDescent="0.3">
      <c r="A5" s="1">
        <v>4</v>
      </c>
      <c r="B5" s="1" t="s">
        <v>85</v>
      </c>
      <c r="C5" s="1" t="s">
        <v>13</v>
      </c>
      <c r="D5" s="1">
        <v>45000</v>
      </c>
      <c r="E5" s="1" t="s">
        <v>15</v>
      </c>
      <c r="F5" s="1" t="s">
        <v>18</v>
      </c>
      <c r="G5" s="1">
        <v>8</v>
      </c>
      <c r="H5" s="1">
        <v>5</v>
      </c>
      <c r="I5" s="1">
        <f t="shared" si="0"/>
        <v>40</v>
      </c>
    </row>
    <row r="6" spans="1:9" x14ac:dyDescent="0.3">
      <c r="A6" s="4">
        <v>5</v>
      </c>
      <c r="B6" s="4" t="s">
        <v>84</v>
      </c>
      <c r="C6" s="4" t="s">
        <v>14</v>
      </c>
      <c r="D6" s="4">
        <v>40000</v>
      </c>
      <c r="E6" s="4" t="s">
        <v>15</v>
      </c>
      <c r="F6" s="4" t="s">
        <v>18</v>
      </c>
      <c r="G6" s="4">
        <v>7</v>
      </c>
      <c r="H6" s="4">
        <v>5</v>
      </c>
      <c r="I6" s="4">
        <f t="shared" si="0"/>
        <v>35</v>
      </c>
    </row>
    <row r="7" spans="1:9" x14ac:dyDescent="0.3">
      <c r="A7" s="1">
        <v>6</v>
      </c>
      <c r="B7" s="1" t="s">
        <v>83</v>
      </c>
      <c r="C7" s="1" t="s">
        <v>11</v>
      </c>
      <c r="D7" s="1">
        <v>80000</v>
      </c>
      <c r="E7" s="1" t="s">
        <v>15</v>
      </c>
      <c r="F7" s="1" t="s">
        <v>16</v>
      </c>
      <c r="G7" s="1">
        <v>6</v>
      </c>
      <c r="H7" s="1">
        <v>5</v>
      </c>
      <c r="I7" s="1">
        <f t="shared" si="0"/>
        <v>30</v>
      </c>
    </row>
    <row r="8" spans="1:9" x14ac:dyDescent="0.3">
      <c r="A8" s="4">
        <v>7</v>
      </c>
      <c r="B8" s="4" t="s">
        <v>80</v>
      </c>
      <c r="C8" s="4" t="s">
        <v>77</v>
      </c>
      <c r="D8" s="4">
        <v>60000</v>
      </c>
      <c r="E8" s="4" t="s">
        <v>15</v>
      </c>
      <c r="F8" s="4" t="s">
        <v>18</v>
      </c>
      <c r="G8" s="4">
        <v>8</v>
      </c>
      <c r="H8" s="4">
        <v>5</v>
      </c>
      <c r="I8" s="4">
        <f t="shared" si="0"/>
        <v>40</v>
      </c>
    </row>
    <row r="9" spans="1:9" x14ac:dyDescent="0.3">
      <c r="A9" s="1">
        <v>8</v>
      </c>
      <c r="B9" s="1" t="s">
        <v>82</v>
      </c>
      <c r="C9" s="1" t="s">
        <v>78</v>
      </c>
      <c r="D9" s="1">
        <v>70000</v>
      </c>
      <c r="E9" s="1" t="s">
        <v>17</v>
      </c>
      <c r="F9" s="1" t="s">
        <v>18</v>
      </c>
      <c r="G9" s="1">
        <v>8</v>
      </c>
      <c r="H9" s="1">
        <v>5</v>
      </c>
      <c r="I9" s="1">
        <f t="shared" si="0"/>
        <v>40</v>
      </c>
    </row>
    <row r="10" spans="1:9" x14ac:dyDescent="0.3">
      <c r="A10" s="4">
        <v>9</v>
      </c>
      <c r="B10" s="4" t="s">
        <v>138</v>
      </c>
      <c r="C10" s="4" t="s">
        <v>79</v>
      </c>
      <c r="D10" s="4">
        <v>90000</v>
      </c>
      <c r="E10" s="4" t="s">
        <v>15</v>
      </c>
      <c r="F10" s="4" t="s">
        <v>16</v>
      </c>
      <c r="G10" s="4">
        <v>6</v>
      </c>
      <c r="H10" s="4">
        <v>5</v>
      </c>
      <c r="I10" s="4">
        <f t="shared" si="0"/>
        <v>30</v>
      </c>
    </row>
    <row r="11" spans="1:9" x14ac:dyDescent="0.3">
      <c r="A11" s="1">
        <v>10</v>
      </c>
      <c r="B11" s="1" t="s">
        <v>81</v>
      </c>
      <c r="C11" s="1" t="s">
        <v>14</v>
      </c>
      <c r="D11" s="1">
        <v>55000</v>
      </c>
      <c r="E11" s="1" t="s">
        <v>15</v>
      </c>
      <c r="F11" s="1" t="s">
        <v>18</v>
      </c>
      <c r="G11" s="1">
        <v>7</v>
      </c>
      <c r="H11" s="1">
        <v>5</v>
      </c>
      <c r="I11" s="1">
        <f t="shared" si="0"/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topLeftCell="A61" zoomScale="161" workbookViewId="0">
      <selection activeCell="G8" sqref="G8"/>
    </sheetView>
  </sheetViews>
  <sheetFormatPr defaultRowHeight="14.4" x14ac:dyDescent="0.3"/>
  <cols>
    <col min="1" max="1" width="28.21875" customWidth="1"/>
    <col min="2" max="2" width="37.21875" customWidth="1"/>
    <col min="3" max="3" width="14.109375" style="9" customWidth="1"/>
  </cols>
  <sheetData>
    <row r="1" spans="1:3" ht="21" x14ac:dyDescent="0.4">
      <c r="A1" s="12" t="s">
        <v>53</v>
      </c>
      <c r="B1" s="12" t="s">
        <v>54</v>
      </c>
      <c r="C1" s="13" t="s">
        <v>55</v>
      </c>
    </row>
    <row r="2" spans="1:3" x14ac:dyDescent="0.3">
      <c r="A2" s="4" t="s">
        <v>56</v>
      </c>
      <c r="B2" s="4" t="s">
        <v>57</v>
      </c>
      <c r="C2" s="15">
        <v>13900</v>
      </c>
    </row>
    <row r="3" spans="1:3" x14ac:dyDescent="0.3">
      <c r="A3" s="1" t="s">
        <v>56</v>
      </c>
      <c r="B3" s="1" t="s">
        <v>58</v>
      </c>
      <c r="C3" s="16">
        <v>27800</v>
      </c>
    </row>
    <row r="4" spans="1:3" x14ac:dyDescent="0.3">
      <c r="A4" s="4" t="s">
        <v>56</v>
      </c>
      <c r="B4" s="4" t="s">
        <v>59</v>
      </c>
      <c r="C4" s="15">
        <v>16680</v>
      </c>
    </row>
    <row r="5" spans="1:3" x14ac:dyDescent="0.3">
      <c r="A5" s="5" t="s">
        <v>56</v>
      </c>
      <c r="B5" s="5" t="s">
        <v>60</v>
      </c>
      <c r="C5" s="5" t="s">
        <v>76</v>
      </c>
    </row>
    <row r="6" spans="1:3" x14ac:dyDescent="0.3">
      <c r="A6" s="4" t="s">
        <v>61</v>
      </c>
      <c r="B6" s="4" t="s">
        <v>57</v>
      </c>
      <c r="C6" s="15">
        <v>11120</v>
      </c>
    </row>
    <row r="7" spans="1:3" x14ac:dyDescent="0.3">
      <c r="A7" s="5" t="s">
        <v>61</v>
      </c>
      <c r="B7" s="5" t="s">
        <v>58</v>
      </c>
      <c r="C7" s="23">
        <v>13900</v>
      </c>
    </row>
    <row r="8" spans="1:3" x14ac:dyDescent="0.3">
      <c r="A8" s="4" t="s">
        <v>61</v>
      </c>
      <c r="B8" s="4" t="s">
        <v>59</v>
      </c>
      <c r="C8" s="15">
        <v>22240</v>
      </c>
    </row>
    <row r="9" spans="1:3" x14ac:dyDescent="0.3">
      <c r="A9" s="5" t="s">
        <v>61</v>
      </c>
      <c r="B9" s="5" t="s">
        <v>60</v>
      </c>
      <c r="C9" s="1" t="s">
        <v>76</v>
      </c>
    </row>
    <row r="10" spans="1:3" x14ac:dyDescent="0.3">
      <c r="A10" s="4" t="s">
        <v>62</v>
      </c>
      <c r="B10" s="4" t="s">
        <v>57</v>
      </c>
      <c r="C10" s="15">
        <v>41700</v>
      </c>
    </row>
    <row r="11" spans="1:3" x14ac:dyDescent="0.3">
      <c r="A11" s="5" t="s">
        <v>62</v>
      </c>
      <c r="B11" s="5" t="s">
        <v>58</v>
      </c>
      <c r="C11" s="23">
        <v>55600</v>
      </c>
    </row>
    <row r="12" spans="1:3" x14ac:dyDescent="0.3">
      <c r="A12" s="4" t="s">
        <v>62</v>
      </c>
      <c r="B12" s="4" t="s">
        <v>59</v>
      </c>
      <c r="C12" s="15">
        <v>69500</v>
      </c>
    </row>
    <row r="13" spans="1:3" x14ac:dyDescent="0.3">
      <c r="A13" s="5" t="s">
        <v>62</v>
      </c>
      <c r="B13" s="5" t="s">
        <v>60</v>
      </c>
      <c r="C13" s="1" t="s">
        <v>76</v>
      </c>
    </row>
    <row r="14" spans="1:3" x14ac:dyDescent="0.3">
      <c r="A14" s="4" t="s">
        <v>63</v>
      </c>
      <c r="B14" s="4" t="s">
        <v>57</v>
      </c>
      <c r="C14" s="15">
        <v>12510</v>
      </c>
    </row>
    <row r="15" spans="1:3" x14ac:dyDescent="0.3">
      <c r="A15" s="5" t="s">
        <v>63</v>
      </c>
      <c r="B15" s="5" t="s">
        <v>58</v>
      </c>
      <c r="C15" s="23">
        <v>13900</v>
      </c>
    </row>
    <row r="16" spans="1:3" x14ac:dyDescent="0.3">
      <c r="A16" s="4" t="s">
        <v>63</v>
      </c>
      <c r="B16" s="4" t="s">
        <v>59</v>
      </c>
      <c r="C16" s="15">
        <v>19460</v>
      </c>
    </row>
    <row r="17" spans="1:3" x14ac:dyDescent="0.3">
      <c r="A17" s="5" t="s">
        <v>63</v>
      </c>
      <c r="B17" s="5" t="s">
        <v>60</v>
      </c>
      <c r="C17" s="24" t="s">
        <v>76</v>
      </c>
    </row>
    <row r="18" spans="1:3" x14ac:dyDescent="0.3">
      <c r="A18" s="4" t="s">
        <v>64</v>
      </c>
      <c r="B18" s="4" t="s">
        <v>57</v>
      </c>
      <c r="C18" s="15">
        <v>16680</v>
      </c>
    </row>
    <row r="19" spans="1:3" x14ac:dyDescent="0.3">
      <c r="A19" s="5" t="s">
        <v>64</v>
      </c>
      <c r="B19" s="5" t="s">
        <v>58</v>
      </c>
      <c r="C19" s="23">
        <v>22240</v>
      </c>
    </row>
    <row r="20" spans="1:3" x14ac:dyDescent="0.3">
      <c r="A20" s="4" t="s">
        <v>64</v>
      </c>
      <c r="B20" s="4" t="s">
        <v>59</v>
      </c>
      <c r="C20" s="15">
        <v>27800</v>
      </c>
    </row>
    <row r="21" spans="1:3" x14ac:dyDescent="0.3">
      <c r="A21" s="5" t="s">
        <v>64</v>
      </c>
      <c r="B21" s="5" t="s">
        <v>60</v>
      </c>
      <c r="C21" s="1" t="s">
        <v>76</v>
      </c>
    </row>
    <row r="22" spans="1:3" x14ac:dyDescent="0.3">
      <c r="A22" s="4" t="s">
        <v>65</v>
      </c>
      <c r="B22" s="4" t="s">
        <v>57</v>
      </c>
      <c r="C22" s="15">
        <v>30580</v>
      </c>
    </row>
    <row r="23" spans="1:3" x14ac:dyDescent="0.3">
      <c r="A23" s="5" t="s">
        <v>65</v>
      </c>
      <c r="B23" s="5" t="s">
        <v>58</v>
      </c>
      <c r="C23" s="23">
        <v>41700</v>
      </c>
    </row>
    <row r="24" spans="1:3" x14ac:dyDescent="0.3">
      <c r="A24" s="4" t="s">
        <v>65</v>
      </c>
      <c r="B24" s="4" t="s">
        <v>59</v>
      </c>
      <c r="C24" s="15">
        <v>50040</v>
      </c>
    </row>
    <row r="25" spans="1:3" x14ac:dyDescent="0.3">
      <c r="A25" s="5" t="s">
        <v>65</v>
      </c>
      <c r="B25" s="5" t="s">
        <v>60</v>
      </c>
      <c r="C25" s="1" t="s">
        <v>76</v>
      </c>
    </row>
    <row r="26" spans="1:3" x14ac:dyDescent="0.3">
      <c r="A26" s="4" t="s">
        <v>66</v>
      </c>
      <c r="B26" s="4" t="s">
        <v>57</v>
      </c>
      <c r="C26" s="15">
        <v>11120</v>
      </c>
    </row>
    <row r="27" spans="1:3" x14ac:dyDescent="0.3">
      <c r="A27" s="5" t="s">
        <v>66</v>
      </c>
      <c r="B27" s="5" t="s">
        <v>58</v>
      </c>
      <c r="C27" s="23">
        <v>16680</v>
      </c>
    </row>
    <row r="28" spans="1:3" x14ac:dyDescent="0.3">
      <c r="A28" s="4" t="s">
        <v>66</v>
      </c>
      <c r="B28" s="4" t="s">
        <v>59</v>
      </c>
      <c r="C28" s="15">
        <v>22240</v>
      </c>
    </row>
    <row r="29" spans="1:3" x14ac:dyDescent="0.3">
      <c r="A29" s="5" t="s">
        <v>66</v>
      </c>
      <c r="B29" s="5" t="s">
        <v>60</v>
      </c>
      <c r="C29" s="1" t="s">
        <v>76</v>
      </c>
    </row>
    <row r="30" spans="1:3" x14ac:dyDescent="0.3">
      <c r="A30" s="4" t="s">
        <v>67</v>
      </c>
      <c r="B30" s="4" t="s">
        <v>57</v>
      </c>
      <c r="C30" s="15">
        <v>13900</v>
      </c>
    </row>
    <row r="31" spans="1:3" x14ac:dyDescent="0.3">
      <c r="A31" s="5" t="s">
        <v>67</v>
      </c>
      <c r="B31" s="5" t="s">
        <v>58</v>
      </c>
      <c r="C31" s="23">
        <v>22240</v>
      </c>
    </row>
    <row r="32" spans="1:3" x14ac:dyDescent="0.3">
      <c r="A32" s="4" t="s">
        <v>67</v>
      </c>
      <c r="B32" s="4" t="s">
        <v>59</v>
      </c>
      <c r="C32" s="15">
        <v>25020</v>
      </c>
    </row>
    <row r="33" spans="1:3" x14ac:dyDescent="0.3">
      <c r="A33" s="5" t="s">
        <v>67</v>
      </c>
      <c r="B33" s="5" t="s">
        <v>60</v>
      </c>
      <c r="C33" s="1" t="s">
        <v>76</v>
      </c>
    </row>
    <row r="34" spans="1:3" x14ac:dyDescent="0.3">
      <c r="A34" s="4" t="s">
        <v>68</v>
      </c>
      <c r="B34" s="4" t="s">
        <v>57</v>
      </c>
      <c r="C34" s="15">
        <v>11120</v>
      </c>
    </row>
    <row r="35" spans="1:3" x14ac:dyDescent="0.3">
      <c r="A35" s="5" t="s">
        <v>68</v>
      </c>
      <c r="B35" s="5" t="s">
        <v>58</v>
      </c>
      <c r="C35" s="23">
        <v>16680</v>
      </c>
    </row>
    <row r="36" spans="1:3" x14ac:dyDescent="0.3">
      <c r="A36" s="4" t="s">
        <v>68</v>
      </c>
      <c r="B36" s="4" t="s">
        <v>59</v>
      </c>
      <c r="C36" s="15">
        <v>25020</v>
      </c>
    </row>
    <row r="37" spans="1:3" x14ac:dyDescent="0.3">
      <c r="A37" s="5" t="s">
        <v>68</v>
      </c>
      <c r="B37" s="5" t="s">
        <v>60</v>
      </c>
      <c r="C37" s="1" t="s">
        <v>76</v>
      </c>
    </row>
    <row r="38" spans="1:3" x14ac:dyDescent="0.3">
      <c r="A38" s="4" t="s">
        <v>69</v>
      </c>
      <c r="B38" s="4" t="s">
        <v>57</v>
      </c>
      <c r="C38" s="15">
        <v>30580</v>
      </c>
    </row>
    <row r="39" spans="1:3" x14ac:dyDescent="0.3">
      <c r="A39" s="5" t="s">
        <v>69</v>
      </c>
      <c r="B39" s="5" t="s">
        <v>58</v>
      </c>
      <c r="C39" s="23">
        <v>41700</v>
      </c>
    </row>
    <row r="40" spans="1:3" x14ac:dyDescent="0.3">
      <c r="A40" s="4" t="s">
        <v>69</v>
      </c>
      <c r="B40" s="4" t="s">
        <v>59</v>
      </c>
      <c r="C40" s="15">
        <v>44480</v>
      </c>
    </row>
    <row r="41" spans="1:3" x14ac:dyDescent="0.3">
      <c r="A41" s="5" t="s">
        <v>69</v>
      </c>
      <c r="B41" s="5" t="s">
        <v>60</v>
      </c>
      <c r="C41" s="1" t="s">
        <v>76</v>
      </c>
    </row>
    <row r="42" spans="1:3" x14ac:dyDescent="0.3">
      <c r="A42" s="4" t="s">
        <v>70</v>
      </c>
      <c r="B42" s="4" t="s">
        <v>57</v>
      </c>
      <c r="C42" s="15">
        <v>13900</v>
      </c>
    </row>
    <row r="43" spans="1:3" x14ac:dyDescent="0.3">
      <c r="A43" s="5" t="s">
        <v>70</v>
      </c>
      <c r="B43" s="5" t="s">
        <v>58</v>
      </c>
      <c r="C43" s="23">
        <v>27800</v>
      </c>
    </row>
    <row r="44" spans="1:3" x14ac:dyDescent="0.3">
      <c r="A44" s="4" t="s">
        <v>70</v>
      </c>
      <c r="B44" s="4" t="s">
        <v>59</v>
      </c>
      <c r="C44" s="15">
        <v>41700</v>
      </c>
    </row>
    <row r="45" spans="1:3" x14ac:dyDescent="0.3">
      <c r="A45" s="5" t="s">
        <v>70</v>
      </c>
      <c r="B45" s="5" t="s">
        <v>60</v>
      </c>
      <c r="C45" s="1" t="s">
        <v>76</v>
      </c>
    </row>
    <row r="46" spans="1:3" x14ac:dyDescent="0.3">
      <c r="A46" s="4" t="s">
        <v>71</v>
      </c>
      <c r="B46" s="4" t="s">
        <v>57</v>
      </c>
      <c r="C46" s="15">
        <v>11120</v>
      </c>
    </row>
    <row r="47" spans="1:3" x14ac:dyDescent="0.3">
      <c r="A47" s="5" t="s">
        <v>71</v>
      </c>
      <c r="B47" s="5" t="s">
        <v>58</v>
      </c>
      <c r="C47" s="23">
        <v>16680</v>
      </c>
    </row>
    <row r="48" spans="1:3" x14ac:dyDescent="0.3">
      <c r="A48" s="4" t="s">
        <v>71</v>
      </c>
      <c r="B48" s="4" t="s">
        <v>59</v>
      </c>
      <c r="C48" s="15">
        <v>22240</v>
      </c>
    </row>
    <row r="49" spans="1:3" x14ac:dyDescent="0.3">
      <c r="A49" s="5" t="s">
        <v>71</v>
      </c>
      <c r="B49" s="5" t="s">
        <v>60</v>
      </c>
      <c r="C49" s="1" t="s">
        <v>76</v>
      </c>
    </row>
    <row r="50" spans="1:3" x14ac:dyDescent="0.3">
      <c r="A50" s="4" t="s">
        <v>72</v>
      </c>
      <c r="B50" s="4" t="s">
        <v>57</v>
      </c>
      <c r="C50" s="15">
        <v>55600</v>
      </c>
    </row>
    <row r="51" spans="1:3" x14ac:dyDescent="0.3">
      <c r="A51" s="5" t="s">
        <v>72</v>
      </c>
      <c r="B51" s="5" t="s">
        <v>58</v>
      </c>
      <c r="C51" s="16">
        <v>69500</v>
      </c>
    </row>
    <row r="52" spans="1:3" x14ac:dyDescent="0.3">
      <c r="A52" s="4" t="s">
        <v>72</v>
      </c>
      <c r="B52" s="4" t="s">
        <v>59</v>
      </c>
      <c r="C52" s="15">
        <v>97300</v>
      </c>
    </row>
    <row r="53" spans="1:3" x14ac:dyDescent="0.3">
      <c r="A53" s="1" t="s">
        <v>72</v>
      </c>
      <c r="B53" s="1" t="s">
        <v>60</v>
      </c>
      <c r="C53" s="1" t="s">
        <v>76</v>
      </c>
    </row>
    <row r="54" spans="1:3" x14ac:dyDescent="0.3">
      <c r="A54" s="4" t="s">
        <v>73</v>
      </c>
      <c r="B54" s="4" t="s">
        <v>57</v>
      </c>
      <c r="C54" s="15">
        <v>16680</v>
      </c>
    </row>
    <row r="55" spans="1:3" x14ac:dyDescent="0.3">
      <c r="A55" s="1" t="s">
        <v>73</v>
      </c>
      <c r="B55" s="1" t="s">
        <v>58</v>
      </c>
      <c r="C55" s="23">
        <v>22240</v>
      </c>
    </row>
    <row r="56" spans="1:3" x14ac:dyDescent="0.3">
      <c r="A56" s="4" t="s">
        <v>73</v>
      </c>
      <c r="B56" s="4" t="s">
        <v>59</v>
      </c>
      <c r="C56" s="15">
        <v>26410</v>
      </c>
    </row>
    <row r="57" spans="1:3" x14ac:dyDescent="0.3">
      <c r="A57" s="1" t="s">
        <v>73</v>
      </c>
      <c r="B57" s="1" t="s">
        <v>60</v>
      </c>
      <c r="C57" s="1" t="s">
        <v>76</v>
      </c>
    </row>
    <row r="58" spans="1:3" x14ac:dyDescent="0.3">
      <c r="A58" s="4" t="s">
        <v>74</v>
      </c>
      <c r="B58" s="4" t="s">
        <v>57</v>
      </c>
      <c r="C58" s="15">
        <v>11120</v>
      </c>
    </row>
    <row r="59" spans="1:3" x14ac:dyDescent="0.3">
      <c r="A59" s="1" t="s">
        <v>74</v>
      </c>
      <c r="B59" s="1" t="s">
        <v>58</v>
      </c>
      <c r="C59" s="23">
        <v>22240</v>
      </c>
    </row>
    <row r="60" spans="1:3" x14ac:dyDescent="0.3">
      <c r="A60" s="4" t="s">
        <v>74</v>
      </c>
      <c r="B60" s="4" t="s">
        <v>59</v>
      </c>
      <c r="C60" s="15">
        <v>25020</v>
      </c>
    </row>
    <row r="61" spans="1:3" x14ac:dyDescent="0.3">
      <c r="A61" s="1" t="s">
        <v>74</v>
      </c>
      <c r="B61" s="1" t="s">
        <v>60</v>
      </c>
      <c r="C61" s="1" t="s">
        <v>76</v>
      </c>
    </row>
    <row r="62" spans="1:3" x14ac:dyDescent="0.3">
      <c r="A62" s="4" t="s">
        <v>75</v>
      </c>
      <c r="B62" s="4" t="s">
        <v>57</v>
      </c>
      <c r="C62" s="15">
        <v>27800</v>
      </c>
    </row>
    <row r="63" spans="1:3" x14ac:dyDescent="0.3">
      <c r="A63" s="1" t="s">
        <v>75</v>
      </c>
      <c r="B63" s="1" t="s">
        <v>58</v>
      </c>
      <c r="C63" s="23">
        <v>41700</v>
      </c>
    </row>
    <row r="64" spans="1:3" x14ac:dyDescent="0.3">
      <c r="A64" s="4" t="s">
        <v>75</v>
      </c>
      <c r="B64" s="4" t="s">
        <v>59</v>
      </c>
      <c r="C64" s="15">
        <v>55600</v>
      </c>
    </row>
    <row r="65" spans="1:3" x14ac:dyDescent="0.3">
      <c r="A65" s="1" t="s">
        <v>75</v>
      </c>
      <c r="B65" s="1" t="s">
        <v>60</v>
      </c>
      <c r="C65" s="1" t="s">
        <v>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opLeftCell="A15" zoomScale="93" workbookViewId="0">
      <selection activeCell="J34" sqref="J34"/>
    </sheetView>
  </sheetViews>
  <sheetFormatPr defaultRowHeight="14.4" x14ac:dyDescent="0.3"/>
  <cols>
    <col min="1" max="1" width="11.6640625" customWidth="1"/>
    <col min="2" max="2" width="43.88671875" customWidth="1"/>
    <col min="3" max="3" width="17.109375" customWidth="1"/>
    <col min="4" max="4" width="15.77734375" style="8" customWidth="1"/>
    <col min="5" max="5" width="16.44140625" customWidth="1"/>
    <col min="6" max="6" width="21.88671875" style="10" customWidth="1"/>
  </cols>
  <sheetData>
    <row r="1" spans="1:6" x14ac:dyDescent="0.3">
      <c r="A1" s="25" t="s">
        <v>140</v>
      </c>
      <c r="B1" s="25"/>
      <c r="C1" s="25"/>
      <c r="D1" s="25"/>
      <c r="E1" s="25"/>
      <c r="F1" s="25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6" t="s">
        <v>6</v>
      </c>
      <c r="B3" s="6" t="s">
        <v>7</v>
      </c>
      <c r="C3" s="6" t="s">
        <v>8</v>
      </c>
      <c r="D3" s="11" t="s">
        <v>137</v>
      </c>
      <c r="E3" s="6" t="s">
        <v>9</v>
      </c>
      <c r="F3" s="7" t="s">
        <v>136</v>
      </c>
    </row>
    <row r="4" spans="1:6" x14ac:dyDescent="0.3">
      <c r="A4" s="1" t="s">
        <v>21</v>
      </c>
      <c r="B4" s="1" t="s">
        <v>26</v>
      </c>
      <c r="C4" s="1" t="s">
        <v>88</v>
      </c>
      <c r="D4" s="23">
        <v>13900</v>
      </c>
      <c r="E4" s="1" t="s">
        <v>22</v>
      </c>
      <c r="F4" s="23">
        <v>13900</v>
      </c>
    </row>
    <row r="5" spans="1:6" x14ac:dyDescent="0.3">
      <c r="A5" s="4" t="s">
        <v>21</v>
      </c>
      <c r="B5" s="4" t="s">
        <v>47</v>
      </c>
      <c r="C5" s="4" t="s">
        <v>89</v>
      </c>
      <c r="D5" s="15">
        <v>27800</v>
      </c>
      <c r="E5" s="4" t="s">
        <v>22</v>
      </c>
      <c r="F5" s="15">
        <v>27800</v>
      </c>
    </row>
    <row r="6" spans="1:6" x14ac:dyDescent="0.3">
      <c r="A6" s="5" t="s">
        <v>21</v>
      </c>
      <c r="B6" s="5" t="s">
        <v>27</v>
      </c>
      <c r="C6" s="5" t="s">
        <v>90</v>
      </c>
      <c r="D6" s="23">
        <v>27800</v>
      </c>
      <c r="E6" s="1" t="s">
        <v>22</v>
      </c>
      <c r="F6" s="23">
        <v>27800</v>
      </c>
    </row>
    <row r="7" spans="1:6" x14ac:dyDescent="0.3">
      <c r="A7" s="4" t="s">
        <v>21</v>
      </c>
      <c r="B7" s="4" t="s">
        <v>48</v>
      </c>
      <c r="C7" s="4" t="s">
        <v>91</v>
      </c>
      <c r="D7" s="15">
        <v>19460</v>
      </c>
      <c r="E7" s="4" t="s">
        <v>25</v>
      </c>
      <c r="F7" s="4">
        <v>0</v>
      </c>
    </row>
    <row r="8" spans="1:6" x14ac:dyDescent="0.3">
      <c r="A8" s="5" t="s">
        <v>21</v>
      </c>
      <c r="B8" s="5" t="s">
        <v>28</v>
      </c>
      <c r="C8" s="5" t="s">
        <v>92</v>
      </c>
      <c r="D8" s="23">
        <v>13900</v>
      </c>
      <c r="E8" s="1" t="s">
        <v>22</v>
      </c>
      <c r="F8" s="23">
        <v>13900</v>
      </c>
    </row>
    <row r="9" spans="1:6" x14ac:dyDescent="0.3">
      <c r="A9" s="4" t="s">
        <v>21</v>
      </c>
      <c r="B9" s="4" t="s">
        <v>49</v>
      </c>
      <c r="C9" s="4" t="s">
        <v>81</v>
      </c>
      <c r="D9" s="15">
        <v>13900</v>
      </c>
      <c r="E9" s="4" t="s">
        <v>22</v>
      </c>
      <c r="F9" s="15">
        <v>13900</v>
      </c>
    </row>
    <row r="10" spans="1:6" x14ac:dyDescent="0.3">
      <c r="A10" s="5" t="s">
        <v>21</v>
      </c>
      <c r="B10" s="5" t="s">
        <v>29</v>
      </c>
      <c r="C10" s="5" t="s">
        <v>93</v>
      </c>
      <c r="D10" s="23">
        <v>19460</v>
      </c>
      <c r="E10" s="1" t="s">
        <v>22</v>
      </c>
      <c r="F10" s="23">
        <v>14460</v>
      </c>
    </row>
    <row r="11" spans="1:6" x14ac:dyDescent="0.3">
      <c r="A11" s="4" t="s">
        <v>21</v>
      </c>
      <c r="B11" s="4" t="s">
        <v>43</v>
      </c>
      <c r="C11" s="4" t="s">
        <v>94</v>
      </c>
      <c r="D11" s="15">
        <v>13900</v>
      </c>
      <c r="E11" s="4" t="s">
        <v>22</v>
      </c>
      <c r="F11" s="15">
        <v>13900</v>
      </c>
    </row>
    <row r="12" spans="1:6" x14ac:dyDescent="0.3">
      <c r="A12" s="5" t="s">
        <v>21</v>
      </c>
      <c r="B12" s="5" t="s">
        <v>30</v>
      </c>
      <c r="C12" s="5" t="s">
        <v>95</v>
      </c>
      <c r="D12" s="23">
        <v>27800</v>
      </c>
      <c r="E12" s="1" t="s">
        <v>25</v>
      </c>
      <c r="F12" s="1">
        <v>0</v>
      </c>
    </row>
    <row r="13" spans="1:6" x14ac:dyDescent="0.3">
      <c r="A13" s="4" t="s">
        <v>21</v>
      </c>
      <c r="B13" s="4" t="s">
        <v>52</v>
      </c>
      <c r="C13" s="4" t="s">
        <v>96</v>
      </c>
      <c r="D13" s="15">
        <v>13900</v>
      </c>
      <c r="E13" s="4" t="s">
        <v>22</v>
      </c>
      <c r="F13" s="15">
        <v>10000</v>
      </c>
    </row>
    <row r="14" spans="1:6" x14ac:dyDescent="0.3">
      <c r="A14" s="5" t="s">
        <v>23</v>
      </c>
      <c r="B14" s="5" t="s">
        <v>31</v>
      </c>
      <c r="C14" s="5" t="s">
        <v>97</v>
      </c>
      <c r="D14" s="23">
        <v>22240</v>
      </c>
      <c r="E14" s="1" t="s">
        <v>22</v>
      </c>
      <c r="F14" s="23">
        <v>13900</v>
      </c>
    </row>
    <row r="15" spans="1:6" x14ac:dyDescent="0.3">
      <c r="A15" s="4" t="s">
        <v>23</v>
      </c>
      <c r="B15" s="4" t="s">
        <v>32</v>
      </c>
      <c r="C15" s="4" t="s">
        <v>98</v>
      </c>
      <c r="D15" s="15">
        <v>22240</v>
      </c>
      <c r="E15" s="4" t="s">
        <v>22</v>
      </c>
      <c r="F15" s="15">
        <v>20000</v>
      </c>
    </row>
    <row r="16" spans="1:6" x14ac:dyDescent="0.3">
      <c r="A16" s="5" t="s">
        <v>23</v>
      </c>
      <c r="B16" s="5" t="s">
        <v>51</v>
      </c>
      <c r="C16" s="5" t="s">
        <v>99</v>
      </c>
      <c r="D16" s="23">
        <v>25020</v>
      </c>
      <c r="E16" s="1" t="s">
        <v>22</v>
      </c>
      <c r="F16" s="23">
        <v>25020</v>
      </c>
    </row>
    <row r="17" spans="1:6" x14ac:dyDescent="0.3">
      <c r="A17" s="4" t="s">
        <v>23</v>
      </c>
      <c r="B17" s="4" t="s">
        <v>33</v>
      </c>
      <c r="C17" s="4" t="s">
        <v>100</v>
      </c>
      <c r="D17" s="15">
        <v>30580</v>
      </c>
      <c r="E17" s="4" t="s">
        <v>25</v>
      </c>
      <c r="F17" s="4">
        <v>0</v>
      </c>
    </row>
    <row r="18" spans="1:6" x14ac:dyDescent="0.3">
      <c r="A18" s="5" t="s">
        <v>23</v>
      </c>
      <c r="B18" s="5" t="s">
        <v>50</v>
      </c>
      <c r="C18" s="5" t="s">
        <v>101</v>
      </c>
      <c r="D18" s="23">
        <v>16680</v>
      </c>
      <c r="E18" s="1" t="s">
        <v>25</v>
      </c>
      <c r="F18" s="1">
        <v>0</v>
      </c>
    </row>
    <row r="19" spans="1:6" x14ac:dyDescent="0.3">
      <c r="A19" s="4" t="s">
        <v>23</v>
      </c>
      <c r="B19" s="4" t="s">
        <v>34</v>
      </c>
      <c r="C19" s="4" t="s">
        <v>102</v>
      </c>
      <c r="D19" s="15">
        <v>8340</v>
      </c>
      <c r="E19" s="4" t="s">
        <v>25</v>
      </c>
      <c r="F19" s="4">
        <v>0</v>
      </c>
    </row>
    <row r="20" spans="1:6" x14ac:dyDescent="0.3">
      <c r="A20" s="5" t="s">
        <v>23</v>
      </c>
      <c r="B20" s="5" t="s">
        <v>46</v>
      </c>
      <c r="C20" s="5" t="s">
        <v>103</v>
      </c>
      <c r="D20" s="23">
        <v>55600</v>
      </c>
      <c r="E20" s="1" t="s">
        <v>22</v>
      </c>
      <c r="F20" s="23">
        <v>29500</v>
      </c>
    </row>
    <row r="21" spans="1:6" x14ac:dyDescent="0.3">
      <c r="A21" s="4" t="s">
        <v>23</v>
      </c>
      <c r="B21" s="4" t="s">
        <v>35</v>
      </c>
      <c r="C21" s="4" t="s">
        <v>104</v>
      </c>
      <c r="D21" s="15">
        <v>30580</v>
      </c>
      <c r="E21" s="4" t="s">
        <v>22</v>
      </c>
      <c r="F21" s="15">
        <v>30580</v>
      </c>
    </row>
    <row r="22" spans="1:6" x14ac:dyDescent="0.3">
      <c r="A22" s="5" t="s">
        <v>23</v>
      </c>
      <c r="B22" s="5" t="s">
        <v>46</v>
      </c>
      <c r="C22" s="5" t="s">
        <v>105</v>
      </c>
      <c r="D22" s="23">
        <v>12510</v>
      </c>
      <c r="E22" s="1" t="s">
        <v>22</v>
      </c>
      <c r="F22" s="23">
        <v>12510</v>
      </c>
    </row>
    <row r="23" spans="1:6" x14ac:dyDescent="0.3">
      <c r="A23" s="4" t="s">
        <v>23</v>
      </c>
      <c r="B23" s="4" t="s">
        <v>36</v>
      </c>
      <c r="C23" s="4" t="s">
        <v>106</v>
      </c>
      <c r="D23" s="15">
        <v>9730</v>
      </c>
      <c r="E23" s="4" t="s">
        <v>25</v>
      </c>
      <c r="F23" s="4">
        <v>0</v>
      </c>
    </row>
    <row r="24" spans="1:6" x14ac:dyDescent="0.3">
      <c r="A24" s="5" t="s">
        <v>24</v>
      </c>
      <c r="B24" s="5" t="s">
        <v>45</v>
      </c>
      <c r="C24" s="5" t="s">
        <v>107</v>
      </c>
      <c r="D24" s="23">
        <v>13900</v>
      </c>
      <c r="E24" s="1" t="s">
        <v>22</v>
      </c>
      <c r="F24" s="23">
        <v>22240</v>
      </c>
    </row>
    <row r="25" spans="1:6" x14ac:dyDescent="0.3">
      <c r="A25" s="4" t="s">
        <v>24</v>
      </c>
      <c r="B25" s="4" t="s">
        <v>37</v>
      </c>
      <c r="C25" s="4" t="s">
        <v>108</v>
      </c>
      <c r="D25" s="15">
        <v>15290</v>
      </c>
      <c r="E25" s="4" t="s">
        <v>22</v>
      </c>
      <c r="F25" s="15">
        <v>5600</v>
      </c>
    </row>
    <row r="26" spans="1:6" x14ac:dyDescent="0.3">
      <c r="A26" s="5" t="s">
        <v>24</v>
      </c>
      <c r="B26" s="5" t="s">
        <v>38</v>
      </c>
      <c r="C26" s="1" t="s">
        <v>109</v>
      </c>
      <c r="D26" s="23">
        <v>18070</v>
      </c>
      <c r="E26" s="1" t="s">
        <v>22</v>
      </c>
      <c r="F26" s="23">
        <v>9500</v>
      </c>
    </row>
    <row r="27" spans="1:6" x14ac:dyDescent="0.3">
      <c r="A27" s="4" t="s">
        <v>24</v>
      </c>
      <c r="B27" s="4" t="s">
        <v>42</v>
      </c>
      <c r="C27" s="4" t="s">
        <v>110</v>
      </c>
      <c r="D27" s="15">
        <v>19460</v>
      </c>
      <c r="E27" s="4" t="s">
        <v>22</v>
      </c>
      <c r="F27" s="15">
        <v>10020</v>
      </c>
    </row>
    <row r="28" spans="1:6" x14ac:dyDescent="0.3">
      <c r="A28" s="5" t="s">
        <v>24</v>
      </c>
      <c r="B28" s="5" t="s">
        <v>39</v>
      </c>
      <c r="C28" s="5" t="s">
        <v>111</v>
      </c>
      <c r="D28" s="23">
        <v>23630</v>
      </c>
      <c r="E28" s="1" t="s">
        <v>22</v>
      </c>
      <c r="F28" s="23">
        <v>15290</v>
      </c>
    </row>
    <row r="29" spans="1:6" x14ac:dyDescent="0.3">
      <c r="A29" s="4" t="s">
        <v>24</v>
      </c>
      <c r="B29" s="4" t="s">
        <v>44</v>
      </c>
      <c r="C29" s="4" t="s">
        <v>112</v>
      </c>
      <c r="D29" s="15">
        <v>11120</v>
      </c>
      <c r="E29" s="4" t="s">
        <v>22</v>
      </c>
      <c r="F29" s="15">
        <v>10800</v>
      </c>
    </row>
    <row r="30" spans="1:6" x14ac:dyDescent="0.3">
      <c r="A30" s="5" t="s">
        <v>24</v>
      </c>
      <c r="B30" s="5" t="s">
        <v>40</v>
      </c>
      <c r="C30" s="5" t="s">
        <v>113</v>
      </c>
      <c r="D30" s="23">
        <v>25020</v>
      </c>
      <c r="E30" s="1" t="s">
        <v>22</v>
      </c>
      <c r="F30" s="23">
        <v>18700</v>
      </c>
    </row>
    <row r="31" spans="1:6" x14ac:dyDescent="0.3">
      <c r="A31" s="4" t="s">
        <v>24</v>
      </c>
      <c r="B31" s="4" t="s">
        <v>43</v>
      </c>
      <c r="C31" s="4" t="s">
        <v>114</v>
      </c>
      <c r="D31" s="15">
        <v>25020</v>
      </c>
      <c r="E31" s="4" t="s">
        <v>25</v>
      </c>
      <c r="F31" s="4">
        <v>0</v>
      </c>
    </row>
    <row r="32" spans="1:6" x14ac:dyDescent="0.3">
      <c r="A32" s="5" t="s">
        <v>24</v>
      </c>
      <c r="B32" s="5" t="s">
        <v>41</v>
      </c>
      <c r="C32" s="5" t="s">
        <v>115</v>
      </c>
      <c r="D32" s="23">
        <v>16680</v>
      </c>
      <c r="E32" s="1" t="s">
        <v>25</v>
      </c>
      <c r="F32" s="1">
        <v>0</v>
      </c>
    </row>
    <row r="33" spans="1:6" x14ac:dyDescent="0.3">
      <c r="A33" s="4" t="s">
        <v>24</v>
      </c>
      <c r="B33" s="4" t="s">
        <v>38</v>
      </c>
      <c r="C33" s="4" t="s">
        <v>116</v>
      </c>
      <c r="D33" s="15">
        <v>20850</v>
      </c>
      <c r="E33" s="4" t="s">
        <v>22</v>
      </c>
      <c r="F33" s="15">
        <v>8240</v>
      </c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F2" sqref="F2"/>
    </sheetView>
  </sheetViews>
  <sheetFormatPr defaultRowHeight="14.4" x14ac:dyDescent="0.3"/>
  <cols>
    <col min="1" max="1" width="14.21875" customWidth="1"/>
    <col min="2" max="2" width="15.33203125" customWidth="1"/>
    <col min="3" max="3" width="9.77734375" customWidth="1"/>
    <col min="4" max="4" width="10.21875" customWidth="1"/>
    <col min="5" max="5" width="10.33203125" customWidth="1"/>
    <col min="6" max="6" width="13.21875" customWidth="1"/>
  </cols>
  <sheetData>
    <row r="1" spans="1:6" ht="30" customHeight="1" thickBot="1" x14ac:dyDescent="0.35">
      <c r="A1" s="14" t="s">
        <v>6</v>
      </c>
      <c r="B1" s="14" t="s">
        <v>131</v>
      </c>
      <c r="C1" s="14" t="s">
        <v>127</v>
      </c>
      <c r="D1" s="14" t="s">
        <v>128</v>
      </c>
      <c r="E1" s="14" t="s">
        <v>129</v>
      </c>
      <c r="F1" s="14" t="s">
        <v>130</v>
      </c>
    </row>
    <row r="2" spans="1:6" ht="15" thickBot="1" x14ac:dyDescent="0.35">
      <c r="A2" s="17" t="s">
        <v>117</v>
      </c>
      <c r="B2" s="18">
        <v>15</v>
      </c>
      <c r="C2" s="18">
        <v>2</v>
      </c>
      <c r="D2" s="18">
        <v>0.8</v>
      </c>
      <c r="E2" s="18">
        <v>0.4</v>
      </c>
      <c r="F2" s="17">
        <f>B2+C2+D2+E2</f>
        <v>18.2</v>
      </c>
    </row>
    <row r="3" spans="1:6" ht="15" thickBot="1" x14ac:dyDescent="0.35">
      <c r="A3" s="21" t="s">
        <v>118</v>
      </c>
      <c r="B3" s="22">
        <v>15</v>
      </c>
      <c r="C3" s="22">
        <v>2</v>
      </c>
      <c r="D3" s="22">
        <v>0.7</v>
      </c>
      <c r="E3" s="22">
        <v>0.3</v>
      </c>
      <c r="F3" s="21">
        <f t="shared" ref="F3:F13" si="0">B3+C3+D3+E3</f>
        <v>18</v>
      </c>
    </row>
    <row r="4" spans="1:6" ht="15" thickBot="1" x14ac:dyDescent="0.35">
      <c r="A4" s="17" t="s">
        <v>119</v>
      </c>
      <c r="B4" s="18">
        <v>15.5</v>
      </c>
      <c r="C4" s="18">
        <v>2</v>
      </c>
      <c r="D4" s="18">
        <v>0.9</v>
      </c>
      <c r="E4" s="18">
        <v>1.2</v>
      </c>
      <c r="F4" s="17">
        <f t="shared" si="0"/>
        <v>19.599999999999998</v>
      </c>
    </row>
    <row r="5" spans="1:6" ht="15" thickBot="1" x14ac:dyDescent="0.35">
      <c r="A5" s="21" t="s">
        <v>120</v>
      </c>
      <c r="B5" s="22">
        <v>15.5</v>
      </c>
      <c r="C5" s="22">
        <v>2</v>
      </c>
      <c r="D5" s="22">
        <v>1.1000000000000001</v>
      </c>
      <c r="E5" s="22">
        <v>0.5</v>
      </c>
      <c r="F5" s="21">
        <f t="shared" si="0"/>
        <v>19.100000000000001</v>
      </c>
    </row>
    <row r="6" spans="1:6" ht="15" thickBot="1" x14ac:dyDescent="0.35">
      <c r="A6" s="17" t="s">
        <v>121</v>
      </c>
      <c r="B6" s="18">
        <v>16</v>
      </c>
      <c r="C6" s="18">
        <v>2</v>
      </c>
      <c r="D6" s="18">
        <v>1.5</v>
      </c>
      <c r="E6" s="18">
        <v>0.8</v>
      </c>
      <c r="F6" s="17">
        <f t="shared" si="0"/>
        <v>20.3</v>
      </c>
    </row>
    <row r="7" spans="1:6" ht="15" thickBot="1" x14ac:dyDescent="0.35">
      <c r="A7" s="21" t="s">
        <v>122</v>
      </c>
      <c r="B7" s="22">
        <v>16</v>
      </c>
      <c r="C7" s="22">
        <v>2</v>
      </c>
      <c r="D7" s="22">
        <v>1.8</v>
      </c>
      <c r="E7" s="22">
        <v>0.4</v>
      </c>
      <c r="F7" s="21">
        <f t="shared" si="0"/>
        <v>20.2</v>
      </c>
    </row>
    <row r="8" spans="1:6" ht="15" thickBot="1" x14ac:dyDescent="0.35">
      <c r="A8" s="17" t="s">
        <v>21</v>
      </c>
      <c r="B8" s="18">
        <v>16.5</v>
      </c>
      <c r="C8" s="18">
        <v>2</v>
      </c>
      <c r="D8" s="18">
        <v>1.7</v>
      </c>
      <c r="E8" s="18">
        <v>0.9</v>
      </c>
      <c r="F8" s="17">
        <f t="shared" si="0"/>
        <v>21.099999999999998</v>
      </c>
    </row>
    <row r="9" spans="1:6" ht="15" thickBot="1" x14ac:dyDescent="0.35">
      <c r="A9" s="21" t="s">
        <v>23</v>
      </c>
      <c r="B9" s="22">
        <v>16.5</v>
      </c>
      <c r="C9" s="22">
        <v>2</v>
      </c>
      <c r="D9" s="22">
        <v>1.6</v>
      </c>
      <c r="E9" s="22">
        <v>0.6</v>
      </c>
      <c r="F9" s="21">
        <f t="shared" si="0"/>
        <v>20.700000000000003</v>
      </c>
    </row>
    <row r="10" spans="1:6" ht="15" thickBot="1" x14ac:dyDescent="0.35">
      <c r="A10" s="17" t="s">
        <v>24</v>
      </c>
      <c r="B10" s="18">
        <v>17</v>
      </c>
      <c r="C10" s="18">
        <v>2</v>
      </c>
      <c r="D10" s="18">
        <v>1.2</v>
      </c>
      <c r="E10" s="18">
        <v>0.3</v>
      </c>
      <c r="F10" s="17">
        <f t="shared" si="0"/>
        <v>20.5</v>
      </c>
    </row>
    <row r="11" spans="1:6" ht="15" thickBot="1" x14ac:dyDescent="0.35">
      <c r="A11" s="21" t="s">
        <v>123</v>
      </c>
      <c r="B11" s="22">
        <v>17</v>
      </c>
      <c r="C11" s="22">
        <v>2</v>
      </c>
      <c r="D11" s="22">
        <v>1</v>
      </c>
      <c r="E11" s="22">
        <v>1.1000000000000001</v>
      </c>
      <c r="F11" s="21">
        <f t="shared" si="0"/>
        <v>21.1</v>
      </c>
    </row>
    <row r="12" spans="1:6" ht="15" thickBot="1" x14ac:dyDescent="0.35">
      <c r="A12" s="17" t="s">
        <v>124</v>
      </c>
      <c r="B12" s="18">
        <v>17.5</v>
      </c>
      <c r="C12" s="18">
        <v>2</v>
      </c>
      <c r="D12" s="18">
        <v>0.9</v>
      </c>
      <c r="E12" s="18">
        <v>0.5</v>
      </c>
      <c r="F12" s="17">
        <f t="shared" si="0"/>
        <v>20.9</v>
      </c>
    </row>
    <row r="13" spans="1:6" ht="15" thickBot="1" x14ac:dyDescent="0.35">
      <c r="A13" s="21" t="s">
        <v>125</v>
      </c>
      <c r="B13" s="22">
        <v>17.5</v>
      </c>
      <c r="C13" s="22">
        <v>2</v>
      </c>
      <c r="D13" s="22">
        <v>1.1000000000000001</v>
      </c>
      <c r="E13" s="22">
        <v>1.4</v>
      </c>
      <c r="F13" s="21">
        <f t="shared" si="0"/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workbookViewId="0">
      <selection activeCell="M16" sqref="M16"/>
    </sheetView>
  </sheetViews>
  <sheetFormatPr defaultRowHeight="14.4" x14ac:dyDescent="0.3"/>
  <cols>
    <col min="1" max="1" width="12.5546875" customWidth="1"/>
    <col min="2" max="2" width="15.21875" customWidth="1"/>
    <col min="3" max="3" width="13.5546875" customWidth="1"/>
    <col min="4" max="4" width="11.21875" customWidth="1"/>
    <col min="5" max="5" width="10.77734375" customWidth="1"/>
    <col min="6" max="6" width="11.5546875" customWidth="1"/>
  </cols>
  <sheetData>
    <row r="1" spans="1:6" ht="31.5" customHeight="1" thickBot="1" x14ac:dyDescent="0.35">
      <c r="A1" s="14" t="s">
        <v>6</v>
      </c>
      <c r="B1" s="14" t="s">
        <v>132</v>
      </c>
      <c r="C1" s="14" t="s">
        <v>130</v>
      </c>
      <c r="D1" s="14" t="s">
        <v>133</v>
      </c>
      <c r="E1" s="14" t="s">
        <v>134</v>
      </c>
      <c r="F1" s="14" t="s">
        <v>135</v>
      </c>
    </row>
    <row r="2" spans="1:6" ht="15" thickBot="1" x14ac:dyDescent="0.35">
      <c r="A2" s="17" t="s">
        <v>117</v>
      </c>
      <c r="B2" s="18">
        <v>30</v>
      </c>
      <c r="C2" s="18">
        <v>18.2</v>
      </c>
      <c r="D2" s="18">
        <f>B2-C2</f>
        <v>11.8</v>
      </c>
      <c r="E2" s="17">
        <f>D2*0.1</f>
        <v>1.1800000000000002</v>
      </c>
      <c r="F2" s="17">
        <f>D2-E2</f>
        <v>10.620000000000001</v>
      </c>
    </row>
    <row r="3" spans="1:6" ht="15" thickBot="1" x14ac:dyDescent="0.35">
      <c r="A3" s="19" t="s">
        <v>118</v>
      </c>
      <c r="B3" s="20">
        <v>28</v>
      </c>
      <c r="C3" s="20">
        <v>18</v>
      </c>
      <c r="D3" s="20">
        <f t="shared" ref="D3:D13" si="0">B3-C3</f>
        <v>10</v>
      </c>
      <c r="E3" s="17">
        <f t="shared" ref="E3:E13" si="1">D3*0.1</f>
        <v>1</v>
      </c>
      <c r="F3" s="19">
        <f t="shared" ref="F3:F13" si="2">D3-E3</f>
        <v>9</v>
      </c>
    </row>
    <row r="4" spans="1:6" ht="15" thickBot="1" x14ac:dyDescent="0.35">
      <c r="A4" s="17" t="s">
        <v>119</v>
      </c>
      <c r="B4" s="18">
        <v>35</v>
      </c>
      <c r="C4" s="18">
        <v>19.600000000000001</v>
      </c>
      <c r="D4" s="18">
        <f t="shared" si="0"/>
        <v>15.399999999999999</v>
      </c>
      <c r="E4" s="17">
        <f t="shared" si="1"/>
        <v>1.54</v>
      </c>
      <c r="F4" s="17">
        <f t="shared" si="2"/>
        <v>13.86</v>
      </c>
    </row>
    <row r="5" spans="1:6" ht="15" thickBot="1" x14ac:dyDescent="0.35">
      <c r="A5" s="19" t="s">
        <v>120</v>
      </c>
      <c r="B5" s="20">
        <v>32</v>
      </c>
      <c r="C5" s="20">
        <v>19.100000000000001</v>
      </c>
      <c r="D5" s="20">
        <f t="shared" si="0"/>
        <v>12.899999999999999</v>
      </c>
      <c r="E5" s="17">
        <f t="shared" si="1"/>
        <v>1.29</v>
      </c>
      <c r="F5" s="19">
        <f t="shared" si="2"/>
        <v>11.61</v>
      </c>
    </row>
    <row r="6" spans="1:6" ht="15" thickBot="1" x14ac:dyDescent="0.35">
      <c r="A6" s="17" t="s">
        <v>121</v>
      </c>
      <c r="B6" s="18">
        <v>40</v>
      </c>
      <c r="C6" s="18">
        <v>20.3</v>
      </c>
      <c r="D6" s="18">
        <f t="shared" si="0"/>
        <v>19.7</v>
      </c>
      <c r="E6" s="17">
        <f t="shared" si="1"/>
        <v>1.97</v>
      </c>
      <c r="F6" s="17">
        <f t="shared" si="2"/>
        <v>17.73</v>
      </c>
    </row>
    <row r="7" spans="1:6" ht="15" thickBot="1" x14ac:dyDescent="0.35">
      <c r="A7" s="19" t="s">
        <v>122</v>
      </c>
      <c r="B7" s="20">
        <v>38</v>
      </c>
      <c r="C7" s="20">
        <v>20.2</v>
      </c>
      <c r="D7" s="20">
        <f t="shared" si="0"/>
        <v>17.8</v>
      </c>
      <c r="E7" s="17">
        <f t="shared" si="1"/>
        <v>1.7800000000000002</v>
      </c>
      <c r="F7" s="19">
        <f t="shared" si="2"/>
        <v>16.02</v>
      </c>
    </row>
    <row r="8" spans="1:6" ht="15" thickBot="1" x14ac:dyDescent="0.35">
      <c r="A8" s="17" t="s">
        <v>21</v>
      </c>
      <c r="B8" s="18">
        <v>42</v>
      </c>
      <c r="C8" s="18">
        <v>21.1</v>
      </c>
      <c r="D8" s="18">
        <f t="shared" si="0"/>
        <v>20.9</v>
      </c>
      <c r="E8" s="17">
        <f t="shared" si="1"/>
        <v>2.09</v>
      </c>
      <c r="F8" s="17">
        <f t="shared" si="2"/>
        <v>18.809999999999999</v>
      </c>
    </row>
    <row r="9" spans="1:6" ht="15" thickBot="1" x14ac:dyDescent="0.35">
      <c r="A9" s="19" t="s">
        <v>23</v>
      </c>
      <c r="B9" s="20">
        <v>37</v>
      </c>
      <c r="C9" s="20">
        <v>20.7</v>
      </c>
      <c r="D9" s="20">
        <f t="shared" si="0"/>
        <v>16.3</v>
      </c>
      <c r="E9" s="17">
        <f t="shared" si="1"/>
        <v>1.6300000000000001</v>
      </c>
      <c r="F9" s="19">
        <f t="shared" si="2"/>
        <v>14.67</v>
      </c>
    </row>
    <row r="10" spans="1:6" ht="19.05" customHeight="1" thickBot="1" x14ac:dyDescent="0.35">
      <c r="A10" s="17" t="s">
        <v>24</v>
      </c>
      <c r="B10" s="18">
        <v>45</v>
      </c>
      <c r="C10" s="18">
        <v>20.5</v>
      </c>
      <c r="D10" s="18">
        <f t="shared" si="0"/>
        <v>24.5</v>
      </c>
      <c r="E10" s="17">
        <f t="shared" si="1"/>
        <v>2.4500000000000002</v>
      </c>
      <c r="F10" s="17">
        <f t="shared" si="2"/>
        <v>22.05</v>
      </c>
    </row>
    <row r="11" spans="1:6" ht="15" thickBot="1" x14ac:dyDescent="0.35">
      <c r="A11" s="19" t="s">
        <v>123</v>
      </c>
      <c r="B11" s="20">
        <v>39</v>
      </c>
      <c r="C11" s="20">
        <v>21.1</v>
      </c>
      <c r="D11" s="20">
        <f t="shared" si="0"/>
        <v>17.899999999999999</v>
      </c>
      <c r="E11" s="17">
        <f t="shared" si="1"/>
        <v>1.79</v>
      </c>
      <c r="F11" s="19">
        <f t="shared" si="2"/>
        <v>16.11</v>
      </c>
    </row>
    <row r="12" spans="1:6" ht="16.5" customHeight="1" thickBot="1" x14ac:dyDescent="0.35">
      <c r="A12" s="17" t="s">
        <v>124</v>
      </c>
      <c r="B12" s="18">
        <v>48</v>
      </c>
      <c r="C12" s="18">
        <v>20.9</v>
      </c>
      <c r="D12" s="18">
        <f t="shared" si="0"/>
        <v>27.1</v>
      </c>
      <c r="E12" s="17">
        <f t="shared" si="1"/>
        <v>2.7100000000000004</v>
      </c>
      <c r="F12" s="17">
        <f t="shared" si="2"/>
        <v>24.39</v>
      </c>
    </row>
    <row r="13" spans="1:6" ht="19.5" customHeight="1" thickBot="1" x14ac:dyDescent="0.35">
      <c r="A13" s="19" t="s">
        <v>125</v>
      </c>
      <c r="B13" s="20">
        <v>50</v>
      </c>
      <c r="C13" s="20">
        <v>22</v>
      </c>
      <c r="D13" s="20">
        <f t="shared" si="0"/>
        <v>28</v>
      </c>
      <c r="E13" s="17">
        <f t="shared" si="1"/>
        <v>2.8000000000000003</v>
      </c>
      <c r="F13" s="19">
        <f t="shared" si="2"/>
        <v>25.2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members &amp; salary</vt:lpstr>
      <vt:lpstr>services</vt:lpstr>
      <vt:lpstr>projects &amp; sales</vt:lpstr>
      <vt:lpstr>total_expenses</vt:lpstr>
      <vt:lpstr>financial_summary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</dc:creator>
  <cp:lastModifiedBy>Muhammad Arham</cp:lastModifiedBy>
  <dcterms:created xsi:type="dcterms:W3CDTF">2025-12-26T11:25:44Z</dcterms:created>
  <dcterms:modified xsi:type="dcterms:W3CDTF">2025-12-30T08:11:28Z</dcterms:modified>
</cp:coreProperties>
</file>